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oman\_dev\python\PySABr\"/>
    </mc:Choice>
  </mc:AlternateContent>
  <xr:revisionPtr revIDLastSave="0" documentId="13_ncr:1_{5A455A38-A475-40EE-A4C7-CB4E5616F805}" xr6:coauthVersionLast="45" xr6:coauthVersionMax="45" xr10:uidLastSave="{00000000-0000-0000-0000-000000000000}"/>
  <bookViews>
    <workbookView xWindow="-87" yWindow="-87" windowWidth="18730" windowHeight="10017" tabRatio="500" activeTab="3" xr2:uid="{00000000-000D-0000-FFFF-FFFF00000000}"/>
  </bookViews>
  <sheets>
    <sheet name="Sheet1" sheetId="1" r:id="rId1"/>
    <sheet name="RE24" sheetId="3" r:id="rId2"/>
    <sheet name="RunsPerGame" sheetId="4" r:id="rId3"/>
    <sheet name="BatLine" sheetId="6" r:id="rId4"/>
    <sheet name="XtraBase" sheetId="5" r:id="rId5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4" i="6" l="1" a="1"/>
  <c r="D14" i="6" s="1"/>
  <c r="D11" i="6" a="1"/>
  <c r="D11" i="6" s="1"/>
  <c r="D12" i="6" s="1" a="1"/>
  <c r="D12" i="6" s="1"/>
  <c r="D13" i="6" s="1" a="1"/>
  <c r="D13" i="6" s="1"/>
  <c r="L7" i="6" l="1"/>
  <c r="K7" i="6"/>
  <c r="J7" i="6"/>
  <c r="A7" i="6"/>
  <c r="I7" i="6" a="1"/>
  <c r="I7" i="6" s="1"/>
  <c r="H7" i="6" a="1"/>
  <c r="H7" i="6" s="1"/>
  <c r="F7" i="6" a="1"/>
  <c r="F7" i="6"/>
  <c r="G7" i="6" a="1"/>
  <c r="G7" i="6"/>
  <c r="E7" i="6" a="1"/>
  <c r="E7" i="6" s="1"/>
  <c r="D7" i="6" a="1"/>
  <c r="D7" i="6" s="1"/>
  <c r="C7" i="6" a="1"/>
  <c r="C7" i="6" s="1"/>
  <c r="B7" i="6" a="1"/>
  <c r="B7" i="6" s="1"/>
  <c r="L2" i="6"/>
  <c r="K2" i="6"/>
  <c r="J2" i="6"/>
  <c r="I2" i="6"/>
  <c r="D2" i="4" l="1"/>
  <c r="C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<sst xmlns="http://schemas.openxmlformats.org/spreadsheetml/2006/main" count="70" uniqueCount="42">
  <si>
    <t>RE</t>
  </si>
  <si>
    <t>BsO</t>
  </si>
  <si>
    <t>0</t>
  </si>
  <si>
    <t>1</t>
  </si>
  <si>
    <t>2</t>
  </si>
  <si>
    <t>000</t>
  </si>
  <si>
    <t>100</t>
  </si>
  <si>
    <t>010</t>
  </si>
  <si>
    <t>110</t>
  </si>
  <si>
    <t>001</t>
  </si>
  <si>
    <t>101</t>
  </si>
  <si>
    <t>011</t>
  </si>
  <si>
    <t>111</t>
  </si>
  <si>
    <t>R/G</t>
  </si>
  <si>
    <t>000-0</t>
  </si>
  <si>
    <t>Fq/All</t>
  </si>
  <si>
    <t>0Runs</t>
  </si>
  <si>
    <t>1Runs</t>
  </si>
  <si>
    <t>Event</t>
  </si>
  <si>
    <t>1B</t>
  </si>
  <si>
    <t>2B</t>
  </si>
  <si>
    <t>Out</t>
  </si>
  <si>
    <t>3B</t>
  </si>
  <si>
    <t>State</t>
  </si>
  <si>
    <t>Hello!</t>
  </si>
  <si>
    <t>AB</t>
  </si>
  <si>
    <t>H</t>
  </si>
  <si>
    <t>HR</t>
  </si>
  <si>
    <t>BB</t>
  </si>
  <si>
    <t>SO</t>
  </si>
  <si>
    <t>-</t>
  </si>
  <si>
    <t>PA</t>
  </si>
  <si>
    <t>OBE</t>
  </si>
  <si>
    <t>OUT</t>
  </si>
  <si>
    <t>Frequencies</t>
  </si>
  <si>
    <t>BBO</t>
  </si>
  <si>
    <t>SLG</t>
  </si>
  <si>
    <t>AVG</t>
  </si>
  <si>
    <t>Lead</t>
  </si>
  <si>
    <t>Outs</t>
  </si>
  <si>
    <t>Add</t>
  </si>
  <si>
    <t>ChNS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</si>
</sst>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"/>
    <numFmt numFmtId="165" formatCode="0.0"/>
  </numFmts>
  <fonts count="6" x14ac:knownFonts="1">
    <font>
      <sz val="12"/>
      <color theme="1"/>
      <name val="Calibri"/>
      <family val="2"/>
      <scheme val="minor"/>
    </font>
    <font>
      <sz val="11"/>
      <color theme="1"/>
      <name val="Roboto"/>
    </font>
    <font>
      <sz val="11"/>
      <color theme="1"/>
      <name val="Nunito"/>
    </font>
    <font>
      <sz val="11"/>
      <color rgb="FFFFFFFF"/>
      <name val="Nunito"/>
    </font>
    <font>
      <sz val="11"/>
      <color theme="1"/>
      <name val="Roboto Medium"/>
    </font>
    <font>
      <sz val="11"/>
      <color theme="0"/>
      <name val="Roboto Medium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theme="1" tint="0.24994659260841701"/>
      </left>
      <right/>
      <top/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/>
      <top style="thin">
        <color theme="1" tint="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49" fontId="2" fillId="0" borderId="4" xfId="0" applyNumberFormat="1" applyFont="1" applyBorder="1" applyAlignment="1">
      <alignment horizontal="center" vertical="center" wrapText="1"/>
    </xf>
    <xf numFmtId="164" fontId="2" fillId="0" borderId="5" xfId="0" applyNumberFormat="1" applyFont="1" applyBorder="1" applyAlignment="1">
      <alignment horizontal="center" vertical="center" wrapText="1"/>
    </xf>
    <xf numFmtId="164" fontId="2" fillId="0" borderId="6" xfId="0" applyNumberFormat="1" applyFont="1" applyBorder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164" fontId="2" fillId="0" borderId="8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 vertical="center" wrapText="1"/>
    </xf>
    <xf numFmtId="164" fontId="3" fillId="0" borderId="3" xfId="0" applyNumberFormat="1" applyFont="1" applyBorder="1" applyAlignment="1">
      <alignment horizontal="center" vertical="center" wrapText="1"/>
    </xf>
    <xf numFmtId="0" fontId="2" fillId="0" borderId="0" xfId="0" applyFont="1"/>
    <xf numFmtId="49" fontId="1" fillId="0" borderId="0" xfId="0" applyNumberFormat="1" applyFont="1"/>
    <xf numFmtId="2" fontId="1" fillId="0" borderId="0" xfId="0" applyNumberFormat="1" applyFont="1"/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</cellXfs>
  <cellStyles count="1">
    <cellStyle name="Normal" xfId="0" builtinId="0"/>
  </cellStyles>
  <dxfs count="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 Medium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 val="0"/>
        <i val="0"/>
      </font>
    </dxf>
    <dxf>
      <font>
        <b val="0"/>
        <i val="0"/>
      </font>
    </dxf>
    <dxf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 Medium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Medium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164" formatCode="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164" formatCode="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Medium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Medium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/>
        <top style="thin">
          <color theme="1" tint="0.24994659260841701"/>
        </top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border>
        <top style="thin">
          <color theme="1" tint="0.24994659260841701"/>
        </top>
      </border>
    </dxf>
    <dxf>
      <border diagonalUp="0" diagonalDown="0"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sz val="11"/>
        <name val="Nunito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Nun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1" tint="0.24994659260841701"/>
        </right>
        <top/>
        <bottom/>
      </border>
    </dxf>
    <dxf>
      <fill>
        <patternFill patternType="solid">
          <fgColor theme="0" tint="-0.14996795556505021"/>
          <bgColor rgb="FFE5E5E5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>
          <bgColor theme="9" tint="0.7999816888943144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vertical style="thin">
          <color theme="1" tint="0.24994659260841701"/>
        </vertical>
      </border>
    </dxf>
    <dxf>
      <font>
        <b val="0"/>
        <i val="0"/>
      </font>
      <fill>
        <patternFill>
          <bgColor rgb="FF505050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color theme="1"/>
      </font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3" defaultTableStyle="TableStyleMedium9" defaultPivotStyle="PivotStyleMedium4">
    <tableStyle name="BsO" pivot="0" count="6" xr9:uid="{803D9A44-295F-4718-AD44-CBBD82A3ECA4}">
      <tableStyleElement type="wholeTable" dxfId="60"/>
      <tableStyleElement type="headerRow" dxfId="59"/>
      <tableStyleElement type="totalRow" dxfId="58"/>
      <tableStyleElement type="firstColumn" dxfId="57"/>
      <tableStyleElement type="lastColumn" dxfId="56"/>
      <tableStyleElement type="firstRowStripe" dxfId="55"/>
    </tableStyle>
    <tableStyle name="Invisible" pivot="0" table="0" count="0" xr9:uid="{611D0F73-4952-459A-847D-B8869813A149}"/>
    <tableStyle name="NestedData" pivot="0" count="5" xr9:uid="{364B8D1A-DF8C-4DD9-A8AE-61CA9FDA2FFA}">
      <tableStyleElement type="wholeTable" dxfId="6"/>
      <tableStyleElement type="headerRow" dxfId="5"/>
      <tableStyleElement type="totalRow" dxfId="4"/>
      <tableStyleElement type="firstColumnStripe" size="3" dxfId="3"/>
      <tableStyleElement type="secondColumn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C4E9D7-9AE1-46D9-9908-C6D98D9B3102}" name="RE_24" displayName="RE_24" ref="A1:D9" totalsRowShown="0" headerRowDxfId="54" dataDxfId="52" headerRowBorderDxfId="53" tableBorderDxfId="51" totalsRowBorderDxfId="50">
  <autoFilter ref="A1:D9" xr:uid="{FE131814-2351-4CA5-BBD2-F049CA244B03}">
    <filterColumn colId="0" hiddenButton="1"/>
    <filterColumn colId="1" hiddenButton="1"/>
    <filterColumn colId="2" hiddenButton="1"/>
    <filterColumn colId="3" hiddenButton="1"/>
  </autoFilter>
  <tableColumns count="4">
    <tableColumn id="1" xr3:uid="{4D9D0A94-F40C-4098-AE9F-9855FF69BA85}" name="BsO" dataDxfId="49"/>
    <tableColumn id="2" xr3:uid="{9F0C6447-9FFF-447F-916E-168F11BBD4DB}" name="0" dataDxfId="48"/>
    <tableColumn id="3" xr3:uid="{195BCD7D-63F9-4798-9B6D-1DD54523E0E7}" name="1" dataDxfId="47"/>
    <tableColumn id="4" xr3:uid="{211FE1B0-5A13-4B6D-983B-7CE2A5B2536F}" name="2" dataDxfId="46"/>
  </tableColumns>
  <tableStyleInfo name="BsO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283AE4-DD1A-4915-AD1D-889ECD2B9D54}" name="BatLine" displayName="BatLine" ref="A1:L2" totalsRowShown="0" headerRowDxfId="45" dataDxfId="44">
  <autoFilter ref="A1:L2" xr:uid="{6C4E2430-C1C6-40D9-83D6-D1282E98D45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AC342986-6CFF-458B-9519-346FE16DD32C}" name="AB" dataDxfId="43"/>
    <tableColumn id="2" xr3:uid="{1D2D8C76-5E14-4C01-BE23-D2C23EAF71AF}" name="H" dataDxfId="42"/>
    <tableColumn id="3" xr3:uid="{E8957C47-8955-4ABB-878A-9843416A51A0}" name="2B" dataDxfId="41"/>
    <tableColumn id="4" xr3:uid="{236EF414-AF3C-485D-9751-BC89E01BC52A}" name="3B" dataDxfId="40"/>
    <tableColumn id="5" xr3:uid="{BF6E5BCA-73B4-4E5E-AB5A-B6C8D0B94ED6}" name="HR" dataDxfId="39"/>
    <tableColumn id="6" xr3:uid="{4CDA6DA6-BA2A-49F9-8DF6-8AC87E501E4D}" name="BB" dataDxfId="38"/>
    <tableColumn id="7" xr3:uid="{EE7740F5-45B6-40AF-898C-589687D3534B}" name="SO" dataDxfId="37"/>
    <tableColumn id="8" xr3:uid="{BC4F7AE2-9CF1-41C8-B857-014D9A86969E}" name="-" dataDxfId="36"/>
    <tableColumn id="9" xr3:uid="{ABD66D60-F8B6-4902-AB66-1C8C699E8BBC}" name="PA" dataDxfId="35">
      <calculatedColumnFormula xml:space="preserve"> BatLine[[#This Row],[AB]] + BatLine[[#This Row],[BB]]</calculatedColumnFormula>
    </tableColumn>
    <tableColumn id="10" xr3:uid="{1E745EDF-E14A-43F5-80E2-453B25821186}" name="OBE" dataDxfId="34">
      <calculatedColumnFormula xml:space="preserve"> BatLine[[#This Row],[H]] + BatLine[[#This Row],[BB]]</calculatedColumnFormula>
    </tableColumn>
    <tableColumn id="11" xr3:uid="{7D29C528-5570-42B2-8345-238D23602E16}" name="OUT" dataDxfId="33">
      <calculatedColumnFormula xml:space="preserve"> BatLine[[#This Row],[PA]] - BatLine[[#This Row],[OBE]]</calculatedColumnFormula>
    </tableColumn>
    <tableColumn id="12" xr3:uid="{E0397DE8-E7C2-4FBC-9442-00DF269F10F8}" name="1B" dataDxfId="32">
      <calculatedColumnFormula xml:space="preserve"> BatLine[[#This Row],[H]] - SUM(BatLine[[#This Row],[2B]:[HR]])</calculatedColumnFormula>
    </tableColumn>
  </tableColumns>
  <tableStyleInfo name="BsO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F245D1-DFA1-4DA5-B9D4-689535B33076}" name="FreqRts" displayName="FreqRts" ref="A6:L7" totalsRowShown="0" headerRowDxfId="31" dataDxfId="30">
  <autoFilter ref="A6:L7" xr:uid="{B4006F3C-79FD-4D18-B60C-8BCFB6DEABD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EDB51F9A-43F5-4212-9358-A5FF3656BC84}" name="PA" dataDxfId="29">
      <calculatedColumnFormula xml:space="preserve"> (FreqRts[[#This Row],[OBE]] / FreqRts[[#This Row],[OUT]]) * 27 + 27</calculatedColumnFormula>
    </tableColumn>
    <tableColumn id="2" xr3:uid="{0B2351DD-B4DD-4C6E-AA17-BC94D97E1EA5}" name="OBE" dataDxfId="28">
      <calculatedColumnFormula array="1" xml:space="preserve"> (BatLine[OBE] / BatLine[[PA]:[PA]])</calculatedColumnFormula>
    </tableColumn>
    <tableColumn id="3" xr3:uid="{EFAB973A-1D29-4ABE-B9F4-4051652FD689}" name="BB" dataDxfId="27">
      <calculatedColumnFormula array="1" xml:space="preserve"> (BatLine[BB] / BatLine[[PA]:[PA]])</calculatedColumnFormula>
    </tableColumn>
    <tableColumn id="4" xr3:uid="{A29F019F-0A37-46FB-8168-C212F4698482}" name="1B" dataDxfId="26">
      <calculatedColumnFormula array="1" xml:space="preserve"> (BatLine[1B] / BatLine[[PA]:[PA]])</calculatedColumnFormula>
    </tableColumn>
    <tableColumn id="5" xr3:uid="{CF38B1A0-E30A-4013-BE11-F2E7ABC42516}" name="2B" dataDxfId="25">
      <calculatedColumnFormula array="1" xml:space="preserve"> (BatLine[2B] / BatLine[[PA]:[PA]])</calculatedColumnFormula>
    </tableColumn>
    <tableColumn id="6" xr3:uid="{B99E7AD1-EBD6-40DA-8B9A-4C423A3CF943}" name="3B" dataDxfId="24">
      <calculatedColumnFormula array="1" xml:space="preserve"> (BatLine[3B] / BatLine[[PA]:[PA]])</calculatedColumnFormula>
    </tableColumn>
    <tableColumn id="7" xr3:uid="{2239D51B-5BC4-40C0-959B-27DCA78AEAA0}" name="HR" dataDxfId="23">
      <calculatedColumnFormula array="1" xml:space="preserve"> (BatLine[HR] / BatLine[[PA]:[PA]])</calculatedColumnFormula>
    </tableColumn>
    <tableColumn id="8" xr3:uid="{F3A4AC5D-1A4D-464F-BA14-6D1EE52C7488}" name="SO" dataDxfId="22">
      <calculatedColumnFormula array="1" xml:space="preserve"> (BatLine[SO] / BatLine[[PA]:[PA]])</calculatedColumnFormula>
    </tableColumn>
    <tableColumn id="9" xr3:uid="{4E5F0479-E8E6-4CDC-9F5A-5D0DB156BB48}" name="OUT" dataDxfId="21">
      <calculatedColumnFormula array="1" xml:space="preserve"> (BatLine[OUT] / BatLine[[PA]:[PA]])</calculatedColumnFormula>
    </tableColumn>
    <tableColumn id="10" xr3:uid="{6C05F02D-44C7-47F6-A44C-BEC5D6305DD8}" name="BBO" dataDxfId="20">
      <calculatedColumnFormula xml:space="preserve"> 1 - (FreqRts[[#This Row],[SO]] / FreqRts[[#This Row],[OUT]])</calculatedColumnFormula>
    </tableColumn>
    <tableColumn id="11" xr3:uid="{AB62AA02-6D7C-49F4-A126-FE909302DAB6}" name="SLG" dataDxfId="19">
      <calculatedColumnFormula xml:space="preserve"> SUMPRODUCT(FreqRts[[#This Row],[1B]:[HR]], {1,2,3,4}) / (1 - FreqRts[[#This Row],[BB]])</calculatedColumnFormula>
    </tableColumn>
    <tableColumn id="12" xr3:uid="{C88D7478-5D90-4EC3-9E85-43DB94CA1222}" name="AVG" dataDxfId="18">
      <calculatedColumnFormula xml:space="preserve"> SUM(FreqRts[[#This Row],[1B]:[HR]]) / (1 - FreqRts[[#This Row],[BB]])</calculatedColumnFormula>
    </tableColumn>
  </tableColumns>
  <tableStyleInfo name="BsO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FDCA69D-81F0-4887-89ED-EE2FDCFC6170}" name="MarkovEngine" displayName="MarkovEngine" ref="A10:D14" totalsRowShown="0" headerRowDxfId="10" dataDxfId="7">
  <autoFilter ref="A10:D14" xr:uid="{14A584BA-99BE-4B2A-A34F-042C28DF9311}">
    <filterColumn colId="0" hiddenButton="1"/>
    <filterColumn colId="1" hiddenButton="1"/>
    <filterColumn colId="2" hiddenButton="1"/>
    <filterColumn colId="3" hiddenButton="1"/>
  </autoFilter>
  <tableColumns count="4">
    <tableColumn id="1" xr3:uid="{BDF0E762-7E37-4599-B3CF-0276052D5277}" name="Lead" dataDxfId="9"/>
    <tableColumn id="2" xr3:uid="{4E0FD920-77A6-4082-AB44-B15F0B7E4403}" name="Outs" dataDxfId="8"/>
    <tableColumn id="3" xr3:uid="{63E92B56-2049-41CA-B240-650B3EB7475E}" name="Add" dataDxfId="1"/>
    <tableColumn id="4" xr3:uid="{EC749D58-2EB2-4EFA-A454-E5671A02A0B0}" name="ChNS" dataDxfId="0">
      <calculatedColumnFormula array="1" xml:space="preserve"> (D10 * FreqRts[BB]) + FreqRts[OUT]</calculatedColumnFormula>
    </tableColumn>
  </tableColumns>
  <tableStyleInfo name="NestedData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C56950-2673-4654-8C61-D01BADC37DBA}" name="Table2" displayName="Table2" ref="A1:E7" totalsRowShown="0" headerRowDxfId="17" dataDxfId="16">
  <autoFilter ref="A1:E7" xr:uid="{5656DFFC-BF08-4F01-A924-45ECA8BB58A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CFDEAB4-B9D7-4BE3-801E-E7E56925CD74}" name="Event" dataDxfId="15"/>
    <tableColumn id="2" xr3:uid="{5FB07FFA-71C6-44D9-9120-B50BF73752D1}" name="State" dataDxfId="14"/>
    <tableColumn id="3" xr3:uid="{C5DE300F-1FA1-44A5-A180-420ED97DB84A}" name="0" dataDxfId="13"/>
    <tableColumn id="4" xr3:uid="{44971C76-FBE7-4F25-B6C4-1FB30B208165}" name="1" dataDxfId="12"/>
    <tableColumn id="5" xr3:uid="{A191E581-73E7-4C32-BC15-4BE78C6C7BA9}" name="2" dataDxfId="11"/>
  </tableColumns>
  <tableStyleInfo name="BsO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9" sqref="E9"/>
    </sheetView>
  </sheetViews>
  <sheetFormatPr defaultColWidth="5.6796875" defaultRowHeight="14.75" x14ac:dyDescent="0.75"/>
  <cols>
    <col min="1" max="16384" width="5.6796875" style="1"/>
  </cols>
  <sheetData>
    <row r="1" spans="1:1" x14ac:dyDescent="0.75">
      <c r="A1" s="1" t="s">
        <v>24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DD2E3-DC90-4F05-906F-90D6768A2072}">
  <dimension ref="A1:D9"/>
  <sheetViews>
    <sheetView workbookViewId="0">
      <selection activeCell="E17" sqref="E17"/>
    </sheetView>
  </sheetViews>
  <sheetFormatPr defaultColWidth="6.6796875" defaultRowHeight="17" customHeight="1" x14ac:dyDescent="1"/>
  <cols>
    <col min="1" max="16384" width="6.6796875" style="11"/>
  </cols>
  <sheetData>
    <row r="1" spans="1:4" ht="17" customHeight="1" x14ac:dyDescent="1">
      <c r="A1" s="8" t="s">
        <v>1</v>
      </c>
      <c r="B1" s="9" t="s">
        <v>2</v>
      </c>
      <c r="C1" s="9" t="s">
        <v>3</v>
      </c>
      <c r="D1" s="10" t="s">
        <v>4</v>
      </c>
    </row>
    <row r="2" spans="1:4" ht="17" customHeight="1" x14ac:dyDescent="1">
      <c r="A2" s="2" t="s">
        <v>5</v>
      </c>
      <c r="B2" s="3">
        <v>0.48099999999999998</v>
      </c>
      <c r="C2" s="3">
        <v>0.254</v>
      </c>
      <c r="D2" s="4">
        <v>9.8000000000000004E-2</v>
      </c>
    </row>
    <row r="3" spans="1:4" ht="17" customHeight="1" x14ac:dyDescent="1">
      <c r="A3" s="2" t="s">
        <v>6</v>
      </c>
      <c r="B3" s="3">
        <v>0.85899999999999999</v>
      </c>
      <c r="C3" s="3">
        <v>0.50900000000000001</v>
      </c>
      <c r="D3" s="4">
        <v>0.224</v>
      </c>
    </row>
    <row r="4" spans="1:4" ht="17" customHeight="1" x14ac:dyDescent="1">
      <c r="A4" s="2" t="s">
        <v>7</v>
      </c>
      <c r="B4" s="3">
        <v>1.1000000000000001</v>
      </c>
      <c r="C4" s="3">
        <v>0.66400000000000003</v>
      </c>
      <c r="D4" s="4">
        <v>0.31900000000000001</v>
      </c>
    </row>
    <row r="5" spans="1:4" ht="17" customHeight="1" x14ac:dyDescent="1">
      <c r="A5" s="2" t="s">
        <v>8</v>
      </c>
      <c r="B5" s="3">
        <v>1.4370000000000001</v>
      </c>
      <c r="C5" s="3">
        <v>0.88400000000000001</v>
      </c>
      <c r="D5" s="4">
        <v>0.42899999999999999</v>
      </c>
    </row>
    <row r="6" spans="1:4" ht="17" customHeight="1" x14ac:dyDescent="1">
      <c r="A6" s="2" t="s">
        <v>9</v>
      </c>
      <c r="B6" s="3">
        <v>1.35</v>
      </c>
      <c r="C6" s="3">
        <v>0.95</v>
      </c>
      <c r="D6" s="4">
        <v>0.35299999999999998</v>
      </c>
    </row>
    <row r="7" spans="1:4" ht="17" customHeight="1" x14ac:dyDescent="1">
      <c r="A7" s="2" t="s">
        <v>10</v>
      </c>
      <c r="B7" s="3">
        <v>1.784</v>
      </c>
      <c r="C7" s="3">
        <v>1.1299999999999999</v>
      </c>
      <c r="D7" s="4">
        <v>0.47799999999999998</v>
      </c>
    </row>
    <row r="8" spans="1:4" ht="17" customHeight="1" x14ac:dyDescent="1">
      <c r="A8" s="2" t="s">
        <v>11</v>
      </c>
      <c r="B8" s="3">
        <v>1.964</v>
      </c>
      <c r="C8" s="3">
        <v>1.3759999999999999</v>
      </c>
      <c r="D8" s="4">
        <v>0.57999999999999996</v>
      </c>
    </row>
    <row r="9" spans="1:4" ht="17" customHeight="1" x14ac:dyDescent="1">
      <c r="A9" s="5" t="s">
        <v>12</v>
      </c>
      <c r="B9" s="6">
        <v>2.2919999999999998</v>
      </c>
      <c r="C9" s="6">
        <v>1.5409999999999999</v>
      </c>
      <c r="D9" s="7">
        <v>0.752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30327-698D-4B52-961A-5D595067960A}">
  <dimension ref="A1:F2"/>
  <sheetViews>
    <sheetView workbookViewId="0">
      <selection activeCell="D9" sqref="D9"/>
    </sheetView>
  </sheetViews>
  <sheetFormatPr defaultColWidth="6.6796875" defaultRowHeight="14.75" x14ac:dyDescent="0.75"/>
  <cols>
    <col min="1" max="16384" width="6.6796875" style="1"/>
  </cols>
  <sheetData>
    <row r="1" spans="1:6" x14ac:dyDescent="0.75">
      <c r="A1" s="1" t="s">
        <v>1</v>
      </c>
      <c r="B1" s="1" t="s">
        <v>13</v>
      </c>
      <c r="C1" s="1" t="s">
        <v>15</v>
      </c>
      <c r="D1" s="1" t="s">
        <v>0</v>
      </c>
      <c r="E1" s="1" t="s">
        <v>16</v>
      </c>
      <c r="F1" s="1" t="s">
        <v>17</v>
      </c>
    </row>
    <row r="2" spans="1:6" x14ac:dyDescent="0.75">
      <c r="A2" s="12" t="s">
        <v>14</v>
      </c>
      <c r="B2" s="13">
        <v>2</v>
      </c>
      <c r="C2" s="1">
        <f>0.259</f>
        <v>0.25900000000000001</v>
      </c>
      <c r="D2" s="1">
        <f>B2 / 9</f>
        <v>0.22222222222222221</v>
      </c>
      <c r="E2" s="1">
        <v>0.84899999999999998</v>
      </c>
      <c r="F2" s="1">
        <v>0.104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FFBE2-9326-40F3-B84B-84C51ABE07E9}">
  <dimension ref="A1:L14"/>
  <sheetViews>
    <sheetView tabSelected="1" workbookViewId="0">
      <selection activeCell="E13" sqref="E13"/>
    </sheetView>
  </sheetViews>
  <sheetFormatPr defaultRowHeight="14.75" x14ac:dyDescent="0.75"/>
  <cols>
    <col min="1" max="12" width="5.6796875" style="1" customWidth="1"/>
    <col min="13" max="16384" width="8.95703125" style="1"/>
  </cols>
  <sheetData>
    <row r="1" spans="1:12" x14ac:dyDescent="0.75">
      <c r="A1" s="16" t="s">
        <v>25</v>
      </c>
      <c r="B1" s="16" t="s">
        <v>26</v>
      </c>
      <c r="C1" s="16" t="s">
        <v>20</v>
      </c>
      <c r="D1" s="16" t="s">
        <v>22</v>
      </c>
      <c r="E1" s="16" t="s">
        <v>27</v>
      </c>
      <c r="F1" s="16" t="s">
        <v>28</v>
      </c>
      <c r="G1" s="16" t="s">
        <v>29</v>
      </c>
      <c r="H1" s="16" t="s">
        <v>30</v>
      </c>
      <c r="I1" s="16" t="s">
        <v>31</v>
      </c>
      <c r="J1" s="16" t="s">
        <v>32</v>
      </c>
      <c r="K1" s="16" t="s">
        <v>33</v>
      </c>
      <c r="L1" s="16" t="s">
        <v>19</v>
      </c>
    </row>
    <row r="2" spans="1:12" x14ac:dyDescent="0.75">
      <c r="A2" s="14">
        <v>37</v>
      </c>
      <c r="B2" s="14">
        <v>10</v>
      </c>
      <c r="C2" s="14">
        <v>2</v>
      </c>
      <c r="D2" s="14">
        <v>0</v>
      </c>
      <c r="E2" s="14">
        <v>1</v>
      </c>
      <c r="F2" s="14">
        <v>4</v>
      </c>
      <c r="G2" s="14">
        <v>7</v>
      </c>
      <c r="H2" s="14"/>
      <c r="I2" s="14">
        <f xml:space="preserve"> BatLine[[#This Row],[AB]] + BatLine[[#This Row],[BB]]</f>
        <v>41</v>
      </c>
      <c r="J2" s="14">
        <f xml:space="preserve"> BatLine[[#This Row],[H]] + BatLine[[#This Row],[BB]]</f>
        <v>14</v>
      </c>
      <c r="K2" s="14">
        <f xml:space="preserve"> BatLine[[#This Row],[PA]] - BatLine[[#This Row],[OBE]]</f>
        <v>27</v>
      </c>
      <c r="L2" s="14">
        <f xml:space="preserve"> BatLine[[#This Row],[H]] - SUM(BatLine[[#This Row],[2B]:[HR]])</f>
        <v>7</v>
      </c>
    </row>
    <row r="5" spans="1:12" x14ac:dyDescent="0.75">
      <c r="A5" s="19" t="s">
        <v>34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1:12" x14ac:dyDescent="0.75">
      <c r="A6" s="16" t="s">
        <v>31</v>
      </c>
      <c r="B6" s="16" t="s">
        <v>32</v>
      </c>
      <c r="C6" s="16" t="s">
        <v>28</v>
      </c>
      <c r="D6" s="16" t="s">
        <v>19</v>
      </c>
      <c r="E6" s="16" t="s">
        <v>20</v>
      </c>
      <c r="F6" s="16" t="s">
        <v>22</v>
      </c>
      <c r="G6" s="16" t="s">
        <v>27</v>
      </c>
      <c r="H6" s="16" t="s">
        <v>29</v>
      </c>
      <c r="I6" s="16" t="s">
        <v>33</v>
      </c>
      <c r="J6" s="16" t="s">
        <v>35</v>
      </c>
      <c r="K6" s="16" t="s">
        <v>36</v>
      </c>
      <c r="L6" s="16" t="s">
        <v>37</v>
      </c>
    </row>
    <row r="7" spans="1:12" x14ac:dyDescent="0.75">
      <c r="A7" s="17">
        <f xml:space="preserve"> (FreqRts[[#This Row],[OBE]] / FreqRts[[#This Row],[OUT]]) * 27 + 27</f>
        <v>41</v>
      </c>
      <c r="B7" s="15" cm="1">
        <f t="array" ref="B7" xml:space="preserve"> (BatLine[OBE] / BatLine[[PA]:[PA]])</f>
        <v>0.34146341463414637</v>
      </c>
      <c r="C7" s="15" cm="1">
        <f t="array" ref="C7" xml:space="preserve"> (BatLine[BB] / BatLine[[PA]:[PA]])</f>
        <v>9.7560975609756101E-2</v>
      </c>
      <c r="D7" s="15" cm="1">
        <f t="array" ref="D7" xml:space="preserve"> (BatLine[1B] / BatLine[[PA]:[PA]])</f>
        <v>0.17073170731707318</v>
      </c>
      <c r="E7" s="15" cm="1">
        <f t="array" ref="E7" xml:space="preserve"> (BatLine[2B] / BatLine[[PA]:[PA]])</f>
        <v>4.878048780487805E-2</v>
      </c>
      <c r="F7" s="15" cm="1">
        <f t="array" ref="F7" xml:space="preserve"> (BatLine[3B] / BatLine[[PA]:[PA]])</f>
        <v>0</v>
      </c>
      <c r="G7" s="15" cm="1">
        <f t="array" ref="G7" xml:space="preserve"> (BatLine[HR] / BatLine[[PA]:[PA]])</f>
        <v>2.4390243902439025E-2</v>
      </c>
      <c r="H7" s="15" cm="1">
        <f t="array" ref="H7" xml:space="preserve"> (BatLine[SO] / BatLine[[PA]:[PA]])</f>
        <v>0.17073170731707318</v>
      </c>
      <c r="I7" s="15" cm="1">
        <f t="array" ref="I7" xml:space="preserve"> (BatLine[OUT] / BatLine[[PA]:[PA]])</f>
        <v>0.65853658536585369</v>
      </c>
      <c r="J7" s="15">
        <f xml:space="preserve"> 1 - (FreqRts[[#This Row],[SO]] / FreqRts[[#This Row],[OUT]])</f>
        <v>0.7407407407407407</v>
      </c>
      <c r="K7" s="18">
        <f xml:space="preserve"> SUMPRODUCT(FreqRts[[#This Row],[1B]:[HR]], {1,2,3,4}) / (1 - FreqRts[[#This Row],[BB]])</f>
        <v>0.40540540540540537</v>
      </c>
      <c r="L7" s="18">
        <f xml:space="preserve"> SUM(FreqRts[[#This Row],[1B]:[HR]]) / (1 - FreqRts[[#This Row],[BB]])</f>
        <v>0.27027027027027029</v>
      </c>
    </row>
    <row r="10" spans="1:12" x14ac:dyDescent="0.75">
      <c r="A10" s="20" t="s">
        <v>38</v>
      </c>
      <c r="B10" s="20" t="s">
        <v>39</v>
      </c>
      <c r="C10" s="20" t="s">
        <v>40</v>
      </c>
      <c r="D10" s="21" t="s">
        <v>41</v>
      </c>
    </row>
    <row r="11" spans="1:12" x14ac:dyDescent="0.75">
      <c r="A11" s="14" t="s">
        <v>22</v>
      </c>
      <c r="B11" s="14">
        <v>2</v>
      </c>
      <c r="C11" s="14">
        <v>2</v>
      </c>
      <c r="D11" s="22" cm="1">
        <f t="array" ref="D11" xml:space="preserve"> FreqRts[OUT]</f>
        <v>0.65853658536585369</v>
      </c>
    </row>
    <row r="12" spans="1:12" x14ac:dyDescent="0.75">
      <c r="A12" s="14" t="s">
        <v>22</v>
      </c>
      <c r="B12" s="14">
        <v>2</v>
      </c>
      <c r="C12" s="14">
        <v>1</v>
      </c>
      <c r="D12" s="22" cm="1">
        <f t="array" ref="D12" xml:space="preserve"> (D11 * FreqRts[BB]) + FreqRts[OUT]</f>
        <v>0.72278405710886384</v>
      </c>
    </row>
    <row r="13" spans="1:12" x14ac:dyDescent="0.75">
      <c r="A13" s="14" t="s">
        <v>22</v>
      </c>
      <c r="B13" s="14">
        <v>2</v>
      </c>
      <c r="C13" s="14">
        <v>0</v>
      </c>
      <c r="D13" s="22" cm="1">
        <f t="array" ref="D13" xml:space="preserve"> (D12 * FreqRts[BB]) + FreqRts[OUT]</f>
        <v>0.72905210313257207</v>
      </c>
    </row>
    <row r="14" spans="1:12" x14ac:dyDescent="0.75">
      <c r="A14" s="14" t="s">
        <v>22</v>
      </c>
      <c r="B14" s="14">
        <v>1</v>
      </c>
      <c r="C14" s="14">
        <v>2</v>
      </c>
      <c r="D14" s="22" cm="1">
        <f t="array" ref="D14" xml:space="preserve"> D11 * FreqRts[OUT] * (1 - FreqRts[BBO] * XtraBase!D7)</f>
        <v>0.27305175490779304</v>
      </c>
    </row>
  </sheetData>
  <mergeCells count="1">
    <mergeCell ref="A5:L5"/>
  </mergeCell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DB33B-18D4-4361-BF63-DA01DDED6AB3}">
  <dimension ref="A1:E7"/>
  <sheetViews>
    <sheetView workbookViewId="0">
      <selection activeCell="G9" sqref="G9"/>
    </sheetView>
  </sheetViews>
  <sheetFormatPr defaultRowHeight="14.75" x14ac:dyDescent="0.75"/>
  <cols>
    <col min="1" max="2" width="5.6796875" style="1" customWidth="1"/>
    <col min="3" max="5" width="4.6796875" style="1" customWidth="1"/>
    <col min="6" max="16384" width="8.95703125" style="1"/>
  </cols>
  <sheetData>
    <row r="1" spans="1:5" x14ac:dyDescent="0.75">
      <c r="A1" s="16" t="s">
        <v>18</v>
      </c>
      <c r="B1" s="16" t="s">
        <v>23</v>
      </c>
      <c r="C1" s="16" t="s">
        <v>2</v>
      </c>
      <c r="D1" s="16" t="s">
        <v>3</v>
      </c>
      <c r="E1" s="16" t="s">
        <v>4</v>
      </c>
    </row>
    <row r="2" spans="1:5" x14ac:dyDescent="0.75">
      <c r="A2" s="14" t="s">
        <v>19</v>
      </c>
      <c r="B2" s="14" t="s">
        <v>19</v>
      </c>
      <c r="C2" s="15">
        <v>0.25</v>
      </c>
      <c r="D2" s="15">
        <v>0.25</v>
      </c>
      <c r="E2" s="15">
        <v>0.25</v>
      </c>
    </row>
    <row r="3" spans="1:5" x14ac:dyDescent="0.75">
      <c r="A3" s="14" t="s">
        <v>19</v>
      </c>
      <c r="B3" s="14" t="s">
        <v>20</v>
      </c>
      <c r="C3" s="15">
        <v>0.3</v>
      </c>
      <c r="D3" s="15">
        <v>0.5</v>
      </c>
      <c r="E3" s="15">
        <v>0.75</v>
      </c>
    </row>
    <row r="4" spans="1:5" x14ac:dyDescent="0.75">
      <c r="A4" s="14" t="s">
        <v>20</v>
      </c>
      <c r="B4" s="14" t="s">
        <v>19</v>
      </c>
      <c r="C4" s="15">
        <v>0.15</v>
      </c>
      <c r="D4" s="15">
        <v>0.25</v>
      </c>
      <c r="E4" s="15">
        <v>0.5</v>
      </c>
    </row>
    <row r="5" spans="1:5" x14ac:dyDescent="0.75">
      <c r="A5" s="14" t="s">
        <v>21</v>
      </c>
      <c r="B5" s="14" t="s">
        <v>19</v>
      </c>
      <c r="C5" s="15">
        <v>0.05</v>
      </c>
      <c r="D5" s="15">
        <v>0.05</v>
      </c>
      <c r="E5" s="15">
        <v>0</v>
      </c>
    </row>
    <row r="6" spans="1:5" x14ac:dyDescent="0.75">
      <c r="A6" s="14" t="s">
        <v>21</v>
      </c>
      <c r="B6" s="14" t="s">
        <v>20</v>
      </c>
      <c r="C6" s="15">
        <v>0.25</v>
      </c>
      <c r="D6" s="15">
        <v>0.25</v>
      </c>
      <c r="E6" s="15">
        <v>0</v>
      </c>
    </row>
    <row r="7" spans="1:5" x14ac:dyDescent="0.75">
      <c r="A7" s="14" t="s">
        <v>21</v>
      </c>
      <c r="B7" s="14" t="s">
        <v>22</v>
      </c>
      <c r="C7" s="15">
        <v>0.5</v>
      </c>
      <c r="D7" s="15">
        <v>0.5</v>
      </c>
      <c r="E7" s="15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RE24</vt:lpstr>
      <vt:lpstr>RunsPerGame</vt:lpstr>
      <vt:lpstr>BatLine</vt:lpstr>
      <vt:lpstr>XtraBase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Alex Munger</cp:lastModifiedBy>
  <dcterms:created xsi:type="dcterms:W3CDTF">2015-01-25T11:31:25Z</dcterms:created>
  <dcterms:modified xsi:type="dcterms:W3CDTF">2020-12-09T07:36:29Z</dcterms:modified>
</cp:coreProperties>
</file>